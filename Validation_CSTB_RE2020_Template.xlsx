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 de Référence CSTB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rotocole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  <font>
      <b val="1"/>
      <color rgb="00C6591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5" customWidth="1" min="2" max="2"/>
    <col width="15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55" customWidth="1" min="12" max="12"/>
  </cols>
  <sheetData>
    <row r="1">
      <c r="A1" s="1" t="inlineStr">
        <is>
          <t>Nom du Cas</t>
        </is>
      </c>
      <c r="B1" s="1" t="inlineStr">
        <is>
          <t>Description</t>
        </is>
      </c>
      <c r="C1" s="1" t="inlineStr">
        <is>
          <t>Zone Climatique</t>
        </is>
      </c>
      <c r="D1" s="1" t="inlineStr">
        <is>
          <t>expected_Bbio</t>
        </is>
      </c>
      <c r="E1" s="1" t="inlineStr">
        <is>
          <t>expected_Cep</t>
        </is>
      </c>
      <c r="F1" s="1" t="inlineStr">
        <is>
          <t>Tolérance (%)</t>
        </is>
      </c>
      <c r="G1" s="1" t="inlineStr">
        <is>
          <t>Bbio Calculé</t>
        </is>
      </c>
      <c r="H1" s="1" t="inlineStr">
        <is>
          <t>Cep Calculé</t>
        </is>
      </c>
      <c r="I1" s="1" t="inlineStr">
        <is>
          <t>Écart Bbio (%)</t>
        </is>
      </c>
      <c r="J1" s="1" t="inlineStr">
        <is>
          <t>Écart Cep (%)</t>
        </is>
      </c>
      <c r="K1" s="1" t="inlineStr">
        <is>
          <t>Statut</t>
        </is>
      </c>
      <c r="L1" s="1" t="inlineStr">
        <is>
          <t>Commentaire</t>
        </is>
      </c>
    </row>
    <row r="2">
      <c r="A2" s="2" t="inlineStr">
        <is>
          <t>Maison individuelle H2c - PAC + plancher + rupteurs</t>
        </is>
      </c>
      <c r="B2" s="2" t="inlineStr">
        <is>
          <t>Cas de référence type maison individuelle performante avec rupteurs thermiques certifiés</t>
        </is>
      </c>
      <c r="C2" s="3" t="inlineStr">
        <is>
          <t>H2c</t>
        </is>
      </c>
      <c r="D2" s="3" t="n">
        <v>82.5</v>
      </c>
      <c r="E2" s="3" t="n">
        <v>38</v>
      </c>
      <c r="F2" s="3" t="n">
        <v>5</v>
      </c>
      <c r="G2" s="3" t="inlineStr"/>
      <c r="H2" s="3" t="inlineStr"/>
      <c r="I2" s="3">
        <f>IF(D2=0,"",IF(G2="","",ROUND((G2-D2)/D2*100,2)))</f>
        <v/>
      </c>
      <c r="J2" s="3">
        <f>IF(E2=0,"",IF(H2="","",ROUND((H2-E2)/E2*100,2)))</f>
        <v/>
      </c>
      <c r="K2" s="3">
        <f>IF(OR(I2="",J2=""),"",IF(AND(ABS(I2)&lt;=F2,ABS(J2)&lt;=F2),"✅ VALIDE","❌ NON VALIDE"))</f>
        <v/>
      </c>
      <c r="L2" s="2" t="inlineStr">
        <is>
          <t>Remplacer expected_Bbio et expected_Cep par valeurs CSTB officielles</t>
        </is>
      </c>
    </row>
    <row r="3">
      <c r="A3" s="2" t="inlineStr">
        <is>
          <t>Appartement collectif H1 - Gaz + radiateurs</t>
        </is>
      </c>
      <c r="B3" s="2" t="inlineStr">
        <is>
          <t>Cas de référence logement collectif en zone H1</t>
        </is>
      </c>
      <c r="C3" s="3" t="inlineStr">
        <is>
          <t>H1</t>
        </is>
      </c>
      <c r="D3" s="3" t="inlineStr"/>
      <c r="E3" s="3" t="inlineStr"/>
      <c r="F3" s="3" t="n">
        <v>5</v>
      </c>
      <c r="G3" s="3" t="inlineStr"/>
      <c r="H3" s="3" t="inlineStr"/>
      <c r="I3" s="3">
        <f>IF(D3=0,"",IF(G3="","",ROUND((G3-D3)/D3*100,2)))</f>
        <v/>
      </c>
      <c r="J3" s="3">
        <f>IF(E3=0,"",IF(H3="","",ROUND((H3-E3)/E3*100,2)))</f>
        <v/>
      </c>
      <c r="K3" s="3">
        <f>IF(OR(I3="",J3=""),"",IF(AND(ABS(I3)&lt;=F3,ABS(J3)&lt;=F3),"✅ VALIDE","❌ NON VALIDE"))</f>
        <v/>
      </c>
      <c r="L3" s="2" t="inlineStr">
        <is>
          <t>À compléter avec valeurs CSTB officielles</t>
        </is>
      </c>
    </row>
    <row r="4">
      <c r="A4" s="2" t="inlineStr">
        <is>
          <t>Bureau tertiaire H3 - PAC + ventilo-convecteurs</t>
        </is>
      </c>
      <c r="B4" s="2" t="inlineStr">
        <is>
          <t>Cas de référence bâtiment tertiaire en zone H3</t>
        </is>
      </c>
      <c r="C4" s="3" t="inlineStr">
        <is>
          <t>H3</t>
        </is>
      </c>
      <c r="D4" s="3" t="inlineStr"/>
      <c r="E4" s="3" t="inlineStr"/>
      <c r="F4" s="3" t="n">
        <v>5</v>
      </c>
      <c r="G4" s="3" t="inlineStr"/>
      <c r="H4" s="3" t="inlineStr"/>
      <c r="I4" s="3">
        <f>IF(D4=0,"",IF(G4="","",ROUND((G4-D4)/D4*100,2)))</f>
        <v/>
      </c>
      <c r="J4" s="3">
        <f>IF(E4=0,"",IF(H4="","",ROUND((H4-E4)/E4*100,2)))</f>
        <v/>
      </c>
      <c r="K4" s="3">
        <f>IF(OR(I4="",J4=""),"",IF(AND(ABS(I4)&lt;=F4,ABS(J4)&lt;=F4),"✅ VALIDE","❌ NON VALIDE"))</f>
        <v/>
      </c>
      <c r="L4" s="2" t="inlineStr">
        <is>
          <t>À compléter avec valeurs CSTB officielles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INSTRUCTIONS - Template de Validation CSTB RE2020</t>
        </is>
      </c>
    </row>
    <row r="2">
      <c r="A2" t="inlineStr"/>
    </row>
    <row r="3">
      <c r="A3" s="4" t="inlineStr">
        <is>
          <t>1. OBJECTIF DU FICHIER</t>
        </is>
      </c>
    </row>
    <row r="4">
      <c r="A4" t="inlineStr">
        <is>
          <t>Ce fichier permet de préparer et suivre la validation de notre moteur Lean contre les cas de référence CSTB.</t>
        </is>
      </c>
    </row>
    <row r="5">
      <c r="A5" t="inlineStr"/>
    </row>
    <row r="6">
      <c r="A6" s="4" t="inlineStr">
        <is>
          <t>2. MODE D'EMPLOI</t>
        </is>
      </c>
    </row>
    <row r="7">
      <c r="A7" t="inlineStr">
        <is>
          <t>Étape 1 : Renseigner les colonnes 'expected_Bbio' et 'expected_Cep' avec les vraies valeurs CSTB.</t>
        </is>
      </c>
    </row>
    <row r="8">
      <c r="A8" t="inlineStr">
        <is>
          <t>Étape 2 : Lancer les calculs dans Lean avec 'runFullCSTBValidation'.</t>
        </is>
      </c>
    </row>
    <row r="9">
      <c r="A9" t="inlineStr">
        <is>
          <t>Étape 3 : Reporter les résultats dans 'Bbio Calculé' et 'Cep Calculé'.</t>
        </is>
      </c>
    </row>
    <row r="10">
      <c r="A10" t="inlineStr">
        <is>
          <t>Les écarts et le statut se calculent automatiquement.</t>
        </is>
      </c>
    </row>
    <row r="11">
      <c r="A11" t="inlineStr"/>
    </row>
    <row r="12">
      <c r="A12" s="4" t="inlineStr">
        <is>
          <t>3. CRITÈRE DE VALIDATION</t>
        </is>
      </c>
    </row>
    <row r="13">
      <c r="A13" t="inlineStr">
        <is>
          <t>Un cas est VALIDE si |Écart Bbio| ≤ Tolérance ET |Écart Cep| ≤ Tolérance (généralement 5%).</t>
        </is>
      </c>
    </row>
    <row r="14">
      <c r="A14" t="inlineStr"/>
    </row>
    <row r="15">
      <c r="A15" s="4" t="inlineStr">
        <is>
          <t>4. STATUT</t>
        </is>
      </c>
    </row>
    <row r="16">
      <c r="A16" t="inlineStr">
        <is>
          <t>✅ VALIDE     = Les deux écarts sont dans la tolérance</t>
        </is>
      </c>
    </row>
    <row r="17">
      <c r="A17" t="inlineStr">
        <is>
          <t>❌ NON VALIDE = Au moins un écart dépasse la tolérance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PROTOCOLE DE VALIDATION CROISÉE</t>
        </is>
      </c>
    </row>
    <row r="2">
      <c r="A2" t="inlineStr"/>
    </row>
    <row r="3">
      <c r="A3" t="inlineStr">
        <is>
          <t>1. Préparer les mêmes cas de référence dans les deux moteurs.</t>
        </is>
      </c>
    </row>
    <row r="4">
      <c r="A4" t="inlineStr">
        <is>
          <t>2. Lancer les calculs sur notre moteur Lean.</t>
        </is>
      </c>
    </row>
    <row r="5">
      <c r="A5" t="inlineStr">
        <is>
          <t>3. Lancer les calculs sur un logiciel certifié.</t>
        </is>
      </c>
    </row>
    <row r="6">
      <c r="A6" t="inlineStr">
        <is>
          <t>4. Comparer Bbio, Cep et Cep,nr.</t>
        </is>
      </c>
    </row>
    <row r="7">
      <c r="A7" t="inlineStr">
        <is>
          <t>5. Calculer les écarts relatifs.</t>
        </is>
      </c>
    </row>
    <row r="8">
      <c r="A8" t="inlineStr">
        <is>
          <t>6. Vérifier que les écarts restent &lt; 5%.</t>
        </is>
      </c>
    </row>
    <row r="9">
      <c r="A9" t="inlineStr">
        <is>
          <t>7. Documenter les sources d'écart.</t>
        </is>
      </c>
    </row>
    <row r="10">
      <c r="A10" t="inlineStr"/>
    </row>
    <row r="11">
      <c r="A11" t="inlineStr">
        <is>
          <t>TOLÉRANCES HABITUELLES : Bbio ±5%, Cep ±5%, Cep,nr ±5%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2026-06-27T10:34:21Z</dcterms:created>
  <dcterms:modified xmlns:dcterms="http://purl.org/dc/terms/" xmlns:xsi="http://www.w3.org/2001/XMLSchema-instance" xsi:type="dcterms:W3CDTF">2026-06-27T10:34:21Z</dcterms:modified>
</cp:coreProperties>
</file>